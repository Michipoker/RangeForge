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/>
  <mc:AlternateContent xmlns:mc="http://schemas.openxmlformats.org/markup-compatibility/2006">
    <mc:Choice Requires="x15">
      <x15ac:absPath xmlns:x15ac="http://schemas.microsoft.com/office/spreadsheetml/2010/11/ac" url="E:\Poker\Promos Poker\"/>
    </mc:Choice>
  </mc:AlternateContent>
  <xr:revisionPtr revIDLastSave="0" documentId="13_ncr:1_{77BF49C1-160D-4C71-AB25-E26D59670397}" xr6:coauthVersionLast="47" xr6:coauthVersionMax="47" xr10:uidLastSave="{00000000-0000-0000-0000-000000000000}"/>
  <bookViews>
    <workbookView xWindow="-120" yWindow="-120" windowWidth="29040" windowHeight="15840" activeTab="1" xr2:uid="{42DA0842-866A-4128-986D-712CB31F8F1F}"/>
  </bookViews>
  <sheets>
    <sheet name="Hoja1" sheetId="1" r:id="rId1"/>
    <sheet name="cuent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1" l="1"/>
  <c r="O8" i="1"/>
  <c r="J8" i="1"/>
  <c r="M8" i="1" s="1"/>
  <c r="J9" i="1"/>
  <c r="M9" i="1" s="1"/>
  <c r="J10" i="1"/>
  <c r="M10" i="1" s="1"/>
  <c r="J36" i="1"/>
  <c r="M36" i="1" s="1"/>
  <c r="J35" i="1"/>
  <c r="M35" i="1" s="1"/>
  <c r="J34" i="1"/>
  <c r="M34" i="1" s="1"/>
  <c r="J33" i="1"/>
  <c r="M33" i="1" s="1"/>
  <c r="J32" i="1"/>
  <c r="M32" i="1" s="1"/>
  <c r="J31" i="1"/>
  <c r="M31" i="1" s="1"/>
  <c r="J30" i="1"/>
  <c r="M30" i="1" s="1"/>
  <c r="J29" i="1"/>
  <c r="M29" i="1" s="1"/>
  <c r="J28" i="1"/>
  <c r="M28" i="1" s="1"/>
  <c r="J27" i="1"/>
  <c r="M27" i="1" s="1"/>
  <c r="J26" i="1"/>
  <c r="M26" i="1" s="1"/>
  <c r="J25" i="1"/>
  <c r="M25" i="1" s="1"/>
  <c r="J24" i="1"/>
  <c r="M24" i="1" s="1"/>
  <c r="J23" i="1"/>
  <c r="M23" i="1" s="1"/>
  <c r="J22" i="1"/>
  <c r="M22" i="1" s="1"/>
  <c r="J21" i="1"/>
  <c r="M21" i="1" s="1"/>
  <c r="J20" i="1"/>
  <c r="M20" i="1" s="1"/>
  <c r="J19" i="1"/>
  <c r="M19" i="1" s="1"/>
  <c r="J18" i="1"/>
  <c r="M18" i="1" s="1"/>
  <c r="J17" i="1"/>
  <c r="M17" i="1" s="1"/>
  <c r="J16" i="1"/>
  <c r="M16" i="1" s="1"/>
  <c r="J15" i="1"/>
  <c r="M15" i="1" s="1"/>
  <c r="J14" i="1"/>
  <c r="M14" i="1" s="1"/>
  <c r="J13" i="1"/>
  <c r="M13" i="1" s="1"/>
  <c r="J12" i="1"/>
  <c r="M12" i="1" s="1"/>
  <c r="J11" i="1"/>
  <c r="M11" i="1" s="1"/>
  <c r="M7" i="1"/>
  <c r="M5" i="1"/>
  <c r="M4" i="1"/>
  <c r="C6" i="1"/>
  <c r="F6" i="1" s="1"/>
  <c r="C7" i="1"/>
  <c r="C8" i="1"/>
  <c r="F8" i="1" s="1"/>
  <c r="C9" i="1"/>
  <c r="F9" i="1" s="1"/>
  <c r="C10" i="1"/>
  <c r="C11" i="1"/>
  <c r="F11" i="1" s="1"/>
  <c r="C12" i="1"/>
  <c r="F12" i="1" s="1"/>
  <c r="C13" i="1"/>
  <c r="C14" i="1"/>
  <c r="F14" i="1" s="1"/>
  <c r="C15" i="1"/>
  <c r="F15" i="1" s="1"/>
  <c r="C16" i="1"/>
  <c r="F16" i="1" s="1"/>
  <c r="C17" i="1"/>
  <c r="C18" i="1"/>
  <c r="C19" i="1"/>
  <c r="C20" i="1"/>
  <c r="F20" i="1" s="1"/>
  <c r="C21" i="1"/>
  <c r="F21" i="1" s="1"/>
  <c r="C22" i="1"/>
  <c r="C23" i="1"/>
  <c r="C24" i="1"/>
  <c r="F24" i="1" s="1"/>
  <c r="C25" i="1"/>
  <c r="C26" i="1"/>
  <c r="F26" i="1" s="1"/>
  <c r="C27" i="1"/>
  <c r="F27" i="1" s="1"/>
  <c r="C28" i="1"/>
  <c r="F28" i="1" s="1"/>
  <c r="C29" i="1"/>
  <c r="C30" i="1"/>
  <c r="C31" i="1"/>
  <c r="C32" i="1"/>
  <c r="F32" i="1" s="1"/>
  <c r="C33" i="1"/>
  <c r="F33" i="1" s="1"/>
  <c r="C34" i="1"/>
  <c r="C35" i="1"/>
  <c r="F35" i="1" s="1"/>
  <c r="C36" i="1"/>
  <c r="F36" i="1" s="1"/>
  <c r="F7" i="1"/>
  <c r="F10" i="1"/>
  <c r="F13" i="1"/>
  <c r="F17" i="1"/>
  <c r="F18" i="1"/>
  <c r="F19" i="1"/>
  <c r="F22" i="1"/>
  <c r="F23" i="1"/>
  <c r="F25" i="1"/>
  <c r="F29" i="1"/>
  <c r="F30" i="1"/>
  <c r="F31" i="1"/>
  <c r="F34" i="1"/>
  <c r="F4" i="1"/>
  <c r="C5" i="1"/>
  <c r="F5" i="1" s="1"/>
</calcChain>
</file>

<file path=xl/sharedStrings.xml><?xml version="1.0" encoding="utf-8"?>
<sst xmlns="http://schemas.openxmlformats.org/spreadsheetml/2006/main" count="90" uniqueCount="54">
  <si>
    <t xml:space="preserve">Promos Poker </t>
  </si>
  <si>
    <t>Mes</t>
  </si>
  <si>
    <t>Inicio mes</t>
  </si>
  <si>
    <t>Final mes</t>
  </si>
  <si>
    <t>Enero</t>
  </si>
  <si>
    <t>Pocket Rockets</t>
  </si>
  <si>
    <t>Win/Lose</t>
  </si>
  <si>
    <t>Febrero</t>
  </si>
  <si>
    <t>North</t>
  </si>
  <si>
    <t>Marzo</t>
  </si>
  <si>
    <t>Abril</t>
  </si>
  <si>
    <t>Pumpkin</t>
  </si>
  <si>
    <t>Home Paradise</t>
  </si>
  <si>
    <t>Mayo</t>
  </si>
  <si>
    <t>Inventario de cuentas Promos Poker</t>
  </si>
  <si>
    <t>Fecha de Creacion</t>
  </si>
  <si>
    <t>Nick</t>
  </si>
  <si>
    <t>Agente</t>
  </si>
  <si>
    <t>Fecha de Descarte</t>
  </si>
  <si>
    <t>Periodo de uso</t>
  </si>
  <si>
    <t>pass</t>
  </si>
  <si>
    <t>ID</t>
  </si>
  <si>
    <t>Club</t>
  </si>
  <si>
    <t xml:space="preserve">NashWayLover </t>
  </si>
  <si>
    <t xml:space="preserve">NoHomeMixi </t>
  </si>
  <si>
    <t>RegFestNL5K</t>
  </si>
  <si>
    <t>FromMicros</t>
  </si>
  <si>
    <t>Usuario</t>
  </si>
  <si>
    <t>michi182michi</t>
  </si>
  <si>
    <t>mixipoker125</t>
  </si>
  <si>
    <t>mixipoker126</t>
  </si>
  <si>
    <t>mixipoker127</t>
  </si>
  <si>
    <t>mixipoker123</t>
  </si>
  <si>
    <t>friends y rockets</t>
  </si>
  <si>
    <t>Vigente</t>
  </si>
  <si>
    <t>Comentarios</t>
  </si>
  <si>
    <t>El agente (RegFestNL5K) es para los dos clubes: Djen Friends 215300
y Pocket Rockets 1674690, el proceso fue el dia 07-08-2025 (directo con Tony pikso), se depositaron 1000 (fichas) el mismo dia a los dos clubs osea 2000 fichas en total.</t>
  </si>
  <si>
    <t>RegFestLover</t>
  </si>
  <si>
    <t>nashwaylover@gmail.com</t>
  </si>
  <si>
    <t>Cuenta de GG poker nueva</t>
  </si>
  <si>
    <t>Club Latam y Poker Cloud</t>
  </si>
  <si>
    <t>Hasta hoy</t>
  </si>
  <si>
    <t>hasta el 01/11/25</t>
  </si>
  <si>
    <t>LevelingLover</t>
  </si>
  <si>
    <t>LMRT111</t>
  </si>
  <si>
    <t>LevelngLover</t>
  </si>
  <si>
    <t>The North</t>
  </si>
  <si>
    <t>Hata hoy</t>
  </si>
  <si>
    <t xml:space="preserve">Desuso </t>
  </si>
  <si>
    <t>hasta hoy</t>
  </si>
  <si>
    <t xml:space="preserve">Nueva cuenta creada para usar en the north </t>
  </si>
  <si>
    <t>LMRT222</t>
  </si>
  <si>
    <t>Se creo hoy 11-12-25 para no jugar deslizando</t>
  </si>
  <si>
    <t>GTO Rat 🧀!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</si>
</sst>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Nunito"/>
    </font>
    <font>
      <b/>
      <sz val="11"/>
      <color theme="1"/>
      <name val="Nunito"/>
    </font>
    <font>
      <u/>
      <sz val="11"/>
      <color theme="10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nashwaylov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9728D-7C24-4748-B8BE-992CE8FC560C}">
  <dimension ref="A2:P36"/>
  <sheetViews>
    <sheetView showZeros="0" workbookViewId="0">
      <selection activeCell="Q17" sqref="Q17"/>
    </sheetView>
  </sheetViews>
  <sheetFormatPr baseColWidth="10" defaultRowHeight="15" x14ac:dyDescent="0.25"/>
  <cols>
    <col min="5" max="5" width="15.5703125" customWidth="1"/>
    <col min="6" max="6" width="11.7109375" bestFit="1" customWidth="1"/>
    <col min="7" max="7" width="4.28515625" customWidth="1"/>
    <col min="12" max="12" width="19.5703125" customWidth="1"/>
  </cols>
  <sheetData>
    <row r="2" spans="1:16" x14ac:dyDescent="0.25">
      <c r="A2" s="1"/>
      <c r="B2" s="2" t="s">
        <v>0</v>
      </c>
      <c r="C2" s="1"/>
      <c r="D2" s="3" t="s">
        <v>8</v>
      </c>
      <c r="E2" s="3" t="s">
        <v>5</v>
      </c>
      <c r="F2" s="1"/>
      <c r="H2" s="1"/>
      <c r="I2" s="2" t="s">
        <v>0</v>
      </c>
      <c r="J2" s="1"/>
      <c r="K2" s="3" t="s">
        <v>11</v>
      </c>
      <c r="L2" s="3" t="s">
        <v>12</v>
      </c>
      <c r="M2" s="1"/>
    </row>
    <row r="3" spans="1:16" x14ac:dyDescent="0.25">
      <c r="A3" s="3">
        <v>2025</v>
      </c>
      <c r="B3" s="2" t="s">
        <v>1</v>
      </c>
      <c r="C3" s="2" t="s">
        <v>2</v>
      </c>
      <c r="D3" s="3" t="s">
        <v>3</v>
      </c>
      <c r="E3" s="3" t="s">
        <v>3</v>
      </c>
      <c r="F3" s="3" t="s">
        <v>6</v>
      </c>
      <c r="H3" s="3">
        <v>2025</v>
      </c>
      <c r="I3" s="2" t="s">
        <v>1</v>
      </c>
      <c r="J3" s="2" t="s">
        <v>2</v>
      </c>
      <c r="K3" s="3" t="s">
        <v>3</v>
      </c>
      <c r="L3" s="3" t="s">
        <v>3</v>
      </c>
      <c r="M3" s="3" t="s">
        <v>6</v>
      </c>
    </row>
    <row r="4" spans="1:16" x14ac:dyDescent="0.25">
      <c r="A4" s="1"/>
      <c r="B4" s="1" t="s">
        <v>4</v>
      </c>
      <c r="C4" s="4">
        <v>600</v>
      </c>
      <c r="D4" s="4">
        <v>375.27</v>
      </c>
      <c r="E4" s="4">
        <v>338.56</v>
      </c>
      <c r="F4" s="4">
        <f>IF(AND(ISNUMBER(C4), ISNUMBER(D4), ISNUMBER(E4)),  (D4 + E4)-C4, "")</f>
        <v>113.82999999999993</v>
      </c>
      <c r="H4" s="1"/>
      <c r="I4" s="1" t="s">
        <v>4</v>
      </c>
      <c r="J4" s="4">
        <v>0</v>
      </c>
      <c r="K4" s="4">
        <v>0</v>
      </c>
      <c r="L4" s="4">
        <v>0</v>
      </c>
      <c r="M4" s="4">
        <f>IF(AND(ISNUMBER(J4), ISNUMBER(K4), ISNUMBER(L4)),  (K4 + L4)-J4, "")</f>
        <v>0</v>
      </c>
    </row>
    <row r="5" spans="1:16" x14ac:dyDescent="0.25">
      <c r="A5" s="1"/>
      <c r="B5" s="1" t="s">
        <v>7</v>
      </c>
      <c r="C5" s="4">
        <f>E4+D4</f>
        <v>713.82999999999993</v>
      </c>
      <c r="D5" s="4">
        <v>202.45</v>
      </c>
      <c r="E5" s="4">
        <v>377.04</v>
      </c>
      <c r="F5" s="4">
        <f t="shared" ref="F5:F36" si="0">IF(AND(ISNUMBER(C5), ISNUMBER(D5), ISNUMBER(E5)),  (D5 + E5)-C5, "")</f>
        <v>-134.33999999999992</v>
      </c>
      <c r="H5" s="1"/>
      <c r="I5" s="1" t="s">
        <v>7</v>
      </c>
      <c r="J5" s="4">
        <v>0</v>
      </c>
      <c r="K5" s="4">
        <v>0</v>
      </c>
      <c r="L5" s="4">
        <v>0</v>
      </c>
      <c r="M5" s="4">
        <f>IF(AND(ISNUMBER(J5), ISNUMBER(K5), ISNUMBER(L5)),  (K5 + L5)-J5, "")</f>
        <v>0</v>
      </c>
    </row>
    <row r="6" spans="1:16" x14ac:dyDescent="0.25">
      <c r="A6" s="1"/>
      <c r="B6" s="1" t="s">
        <v>9</v>
      </c>
      <c r="C6" s="4">
        <f t="shared" ref="C6:C36" si="1">E5+D5</f>
        <v>579.49</v>
      </c>
      <c r="D6" s="4">
        <v>297.2</v>
      </c>
      <c r="E6" s="4">
        <v>47.92</v>
      </c>
      <c r="F6" s="4">
        <f t="shared" si="0"/>
        <v>-234.37</v>
      </c>
      <c r="H6" s="1"/>
      <c r="I6" s="1" t="s">
        <v>9</v>
      </c>
      <c r="J6" s="1"/>
      <c r="K6" s="1"/>
      <c r="L6" s="1"/>
      <c r="M6" s="1"/>
    </row>
    <row r="7" spans="1:16" x14ac:dyDescent="0.25">
      <c r="A7" s="1"/>
      <c r="B7" s="1" t="s">
        <v>10</v>
      </c>
      <c r="C7" s="4">
        <f t="shared" si="1"/>
        <v>345.12</v>
      </c>
      <c r="D7" s="4">
        <v>752.3</v>
      </c>
      <c r="E7" s="4">
        <v>15.91</v>
      </c>
      <c r="F7" s="4">
        <f t="shared" si="0"/>
        <v>423.08999999999992</v>
      </c>
      <c r="H7" s="1"/>
      <c r="I7" s="1" t="s">
        <v>10</v>
      </c>
      <c r="J7" s="4">
        <v>600</v>
      </c>
      <c r="K7" s="4">
        <v>69.760000000000005</v>
      </c>
      <c r="L7" s="4">
        <v>96.53</v>
      </c>
      <c r="M7" s="4">
        <f>IF(AND(ISNUMBER(J7), ISNUMBER(K7), ISNUMBER(L7)),  (K7 + L7)-J7, "")</f>
        <v>-433.71</v>
      </c>
      <c r="O7" s="4">
        <v>1200</v>
      </c>
    </row>
    <row r="8" spans="1:16" x14ac:dyDescent="0.25">
      <c r="A8" s="1"/>
      <c r="B8" s="1" t="s">
        <v>13</v>
      </c>
      <c r="C8" s="4">
        <f t="shared" si="1"/>
        <v>768.20999999999992</v>
      </c>
      <c r="D8" s="4"/>
      <c r="E8" s="4"/>
      <c r="F8" s="4" t="str">
        <f t="shared" si="0"/>
        <v/>
      </c>
      <c r="H8" s="1"/>
      <c r="I8" s="1" t="s">
        <v>13</v>
      </c>
      <c r="J8" s="4">
        <f>L7+K7</f>
        <v>166.29000000000002</v>
      </c>
      <c r="K8" s="4"/>
      <c r="L8" s="4"/>
      <c r="M8" s="4" t="str">
        <f t="shared" ref="M8:M36" si="2">IF(AND(ISNUMBER(J8), ISNUMBER(K8), ISNUMBER(L8)),  (K8 + L8)-J8, "")</f>
        <v/>
      </c>
      <c r="O8" s="5">
        <f>+C8+J8</f>
        <v>934.5</v>
      </c>
      <c r="P8" s="5">
        <f>O8-O7</f>
        <v>-265.5</v>
      </c>
    </row>
    <row r="9" spans="1:16" x14ac:dyDescent="0.25">
      <c r="A9" s="1"/>
      <c r="B9" s="1"/>
      <c r="C9" s="4">
        <f t="shared" si="1"/>
        <v>0</v>
      </c>
      <c r="D9" s="4"/>
      <c r="E9" s="4"/>
      <c r="F9" s="4" t="str">
        <f t="shared" si="0"/>
        <v/>
      </c>
      <c r="H9" s="1"/>
      <c r="I9" s="1"/>
      <c r="J9" s="4">
        <f t="shared" ref="J9:J36" si="3">L8+K8</f>
        <v>0</v>
      </c>
      <c r="K9" s="4"/>
      <c r="L9" s="4"/>
      <c r="M9" s="4" t="str">
        <f t="shared" si="2"/>
        <v/>
      </c>
    </row>
    <row r="10" spans="1:16" x14ac:dyDescent="0.25">
      <c r="A10" s="1"/>
      <c r="B10" s="1"/>
      <c r="C10" s="4">
        <f t="shared" si="1"/>
        <v>0</v>
      </c>
      <c r="D10" s="4"/>
      <c r="E10" s="4"/>
      <c r="F10" s="4" t="str">
        <f t="shared" si="0"/>
        <v/>
      </c>
      <c r="H10" s="1"/>
      <c r="I10" s="1"/>
      <c r="J10" s="4">
        <f t="shared" si="3"/>
        <v>0</v>
      </c>
      <c r="K10" s="4"/>
      <c r="L10" s="4"/>
      <c r="M10" s="4" t="str">
        <f t="shared" si="2"/>
        <v/>
      </c>
    </row>
    <row r="11" spans="1:16" x14ac:dyDescent="0.25">
      <c r="A11" s="1"/>
      <c r="B11" s="1"/>
      <c r="C11" s="4">
        <f t="shared" si="1"/>
        <v>0</v>
      </c>
      <c r="D11" s="4"/>
      <c r="E11" s="4"/>
      <c r="F11" s="4" t="str">
        <f t="shared" si="0"/>
        <v/>
      </c>
      <c r="H11" s="1"/>
      <c r="I11" s="1"/>
      <c r="J11" s="4">
        <f>L10+K10</f>
        <v>0</v>
      </c>
      <c r="K11" s="4"/>
      <c r="L11" s="4"/>
      <c r="M11" s="4" t="str">
        <f t="shared" si="2"/>
        <v/>
      </c>
    </row>
    <row r="12" spans="1:16" x14ac:dyDescent="0.25">
      <c r="A12" s="1"/>
      <c r="B12" s="1"/>
      <c r="C12" s="4">
        <f t="shared" si="1"/>
        <v>0</v>
      </c>
      <c r="D12" s="4"/>
      <c r="E12" s="4"/>
      <c r="F12" s="4" t="str">
        <f t="shared" si="0"/>
        <v/>
      </c>
      <c r="H12" s="1"/>
      <c r="I12" s="1"/>
      <c r="J12" s="4">
        <f t="shared" si="3"/>
        <v>0</v>
      </c>
      <c r="K12" s="4"/>
      <c r="L12" s="4"/>
      <c r="M12" s="4" t="str">
        <f t="shared" si="2"/>
        <v/>
      </c>
    </row>
    <row r="13" spans="1:16" x14ac:dyDescent="0.25">
      <c r="A13" s="1"/>
      <c r="B13" s="1"/>
      <c r="C13" s="4">
        <f t="shared" si="1"/>
        <v>0</v>
      </c>
      <c r="D13" s="4"/>
      <c r="E13" s="4"/>
      <c r="F13" s="4" t="str">
        <f t="shared" si="0"/>
        <v/>
      </c>
      <c r="H13" s="1"/>
      <c r="I13" s="1"/>
      <c r="J13" s="4">
        <f t="shared" si="3"/>
        <v>0</v>
      </c>
      <c r="K13" s="4"/>
      <c r="L13" s="4"/>
      <c r="M13" s="4" t="str">
        <f t="shared" si="2"/>
        <v/>
      </c>
    </row>
    <row r="14" spans="1:16" x14ac:dyDescent="0.25">
      <c r="A14" s="1"/>
      <c r="B14" s="1"/>
      <c r="C14" s="4">
        <f t="shared" si="1"/>
        <v>0</v>
      </c>
      <c r="D14" s="4"/>
      <c r="E14" s="4"/>
      <c r="F14" s="4" t="str">
        <f t="shared" si="0"/>
        <v/>
      </c>
      <c r="H14" s="1"/>
      <c r="I14" s="1"/>
      <c r="J14" s="4">
        <f t="shared" si="3"/>
        <v>0</v>
      </c>
      <c r="K14" s="4"/>
      <c r="L14" s="4"/>
      <c r="M14" s="4" t="str">
        <f t="shared" si="2"/>
        <v/>
      </c>
    </row>
    <row r="15" spans="1:16" x14ac:dyDescent="0.25">
      <c r="A15" s="1"/>
      <c r="B15" s="1"/>
      <c r="C15" s="4">
        <f t="shared" si="1"/>
        <v>0</v>
      </c>
      <c r="D15" s="4"/>
      <c r="E15" s="4"/>
      <c r="F15" s="4" t="str">
        <f t="shared" si="0"/>
        <v/>
      </c>
      <c r="H15" s="1"/>
      <c r="I15" s="1"/>
      <c r="J15" s="4">
        <f t="shared" si="3"/>
        <v>0</v>
      </c>
      <c r="K15" s="4"/>
      <c r="L15" s="4"/>
      <c r="M15" s="4" t="str">
        <f t="shared" si="2"/>
        <v/>
      </c>
    </row>
    <row r="16" spans="1:16" x14ac:dyDescent="0.25">
      <c r="A16" s="1"/>
      <c r="B16" s="1"/>
      <c r="C16" s="4">
        <f t="shared" si="1"/>
        <v>0</v>
      </c>
      <c r="D16" s="4"/>
      <c r="E16" s="4"/>
      <c r="F16" s="4" t="str">
        <f t="shared" si="0"/>
        <v/>
      </c>
      <c r="H16" s="1"/>
      <c r="I16" s="1"/>
      <c r="J16" s="4">
        <f t="shared" si="3"/>
        <v>0</v>
      </c>
      <c r="K16" s="4"/>
      <c r="L16" s="4"/>
      <c r="M16" s="4" t="str">
        <f t="shared" si="2"/>
        <v/>
      </c>
    </row>
    <row r="17" spans="1:13" x14ac:dyDescent="0.25">
      <c r="A17" s="1"/>
      <c r="B17" s="1"/>
      <c r="C17" s="4">
        <f t="shared" si="1"/>
        <v>0</v>
      </c>
      <c r="D17" s="4"/>
      <c r="E17" s="4"/>
      <c r="F17" s="4" t="str">
        <f t="shared" si="0"/>
        <v/>
      </c>
      <c r="H17" s="1"/>
      <c r="I17" s="1"/>
      <c r="J17" s="4">
        <f t="shared" si="3"/>
        <v>0</v>
      </c>
      <c r="K17" s="4"/>
      <c r="L17" s="4"/>
      <c r="M17" s="4" t="str">
        <f t="shared" si="2"/>
        <v/>
      </c>
    </row>
    <row r="18" spans="1:13" x14ac:dyDescent="0.25">
      <c r="A18" s="1"/>
      <c r="B18" s="1"/>
      <c r="C18" s="4">
        <f t="shared" si="1"/>
        <v>0</v>
      </c>
      <c r="D18" s="4"/>
      <c r="E18" s="4"/>
      <c r="F18" s="4" t="str">
        <f t="shared" si="0"/>
        <v/>
      </c>
      <c r="H18" s="1"/>
      <c r="I18" s="1"/>
      <c r="J18" s="4">
        <f t="shared" si="3"/>
        <v>0</v>
      </c>
      <c r="K18" s="4"/>
      <c r="L18" s="4"/>
      <c r="M18" s="4" t="str">
        <f t="shared" si="2"/>
        <v/>
      </c>
    </row>
    <row r="19" spans="1:13" x14ac:dyDescent="0.25">
      <c r="A19" s="1"/>
      <c r="B19" s="1"/>
      <c r="C19" s="4">
        <f t="shared" si="1"/>
        <v>0</v>
      </c>
      <c r="D19" s="4"/>
      <c r="E19" s="4"/>
      <c r="F19" s="4" t="str">
        <f t="shared" si="0"/>
        <v/>
      </c>
      <c r="H19" s="1"/>
      <c r="I19" s="1"/>
      <c r="J19" s="4">
        <f t="shared" si="3"/>
        <v>0</v>
      </c>
      <c r="K19" s="4"/>
      <c r="L19" s="4"/>
      <c r="M19" s="4" t="str">
        <f t="shared" si="2"/>
        <v/>
      </c>
    </row>
    <row r="20" spans="1:13" x14ac:dyDescent="0.25">
      <c r="A20" s="1"/>
      <c r="B20" s="1"/>
      <c r="C20" s="4">
        <f t="shared" si="1"/>
        <v>0</v>
      </c>
      <c r="D20" s="4"/>
      <c r="E20" s="4"/>
      <c r="F20" s="4" t="str">
        <f t="shared" si="0"/>
        <v/>
      </c>
      <c r="H20" s="1"/>
      <c r="I20" s="1"/>
      <c r="J20" s="4">
        <f t="shared" si="3"/>
        <v>0</v>
      </c>
      <c r="K20" s="4"/>
      <c r="L20" s="4"/>
      <c r="M20" s="4" t="str">
        <f t="shared" si="2"/>
        <v/>
      </c>
    </row>
    <row r="21" spans="1:13" x14ac:dyDescent="0.25">
      <c r="A21" s="1"/>
      <c r="B21" s="1"/>
      <c r="C21" s="4">
        <f t="shared" si="1"/>
        <v>0</v>
      </c>
      <c r="D21" s="4"/>
      <c r="E21" s="4"/>
      <c r="F21" s="4" t="str">
        <f t="shared" si="0"/>
        <v/>
      </c>
      <c r="H21" s="1"/>
      <c r="I21" s="1"/>
      <c r="J21" s="4">
        <f t="shared" si="3"/>
        <v>0</v>
      </c>
      <c r="K21" s="4"/>
      <c r="L21" s="4"/>
      <c r="M21" s="4" t="str">
        <f t="shared" si="2"/>
        <v/>
      </c>
    </row>
    <row r="22" spans="1:13" x14ac:dyDescent="0.25">
      <c r="A22" s="1"/>
      <c r="B22" s="1"/>
      <c r="C22" s="4">
        <f t="shared" si="1"/>
        <v>0</v>
      </c>
      <c r="D22" s="4"/>
      <c r="E22" s="4"/>
      <c r="F22" s="4" t="str">
        <f t="shared" si="0"/>
        <v/>
      </c>
      <c r="H22" s="1"/>
      <c r="I22" s="1"/>
      <c r="J22" s="4">
        <f t="shared" si="3"/>
        <v>0</v>
      </c>
      <c r="K22" s="4"/>
      <c r="L22" s="4"/>
      <c r="M22" s="4" t="str">
        <f t="shared" si="2"/>
        <v/>
      </c>
    </row>
    <row r="23" spans="1:13" x14ac:dyDescent="0.25">
      <c r="A23" s="1"/>
      <c r="B23" s="1"/>
      <c r="C23" s="4">
        <f t="shared" si="1"/>
        <v>0</v>
      </c>
      <c r="D23" s="4"/>
      <c r="E23" s="4"/>
      <c r="F23" s="4" t="str">
        <f t="shared" si="0"/>
        <v/>
      </c>
      <c r="H23" s="1"/>
      <c r="I23" s="1"/>
      <c r="J23" s="4">
        <f t="shared" si="3"/>
        <v>0</v>
      </c>
      <c r="K23" s="4"/>
      <c r="L23" s="4"/>
      <c r="M23" s="4" t="str">
        <f t="shared" si="2"/>
        <v/>
      </c>
    </row>
    <row r="24" spans="1:13" x14ac:dyDescent="0.25">
      <c r="A24" s="1"/>
      <c r="B24" s="1"/>
      <c r="C24" s="4">
        <f t="shared" si="1"/>
        <v>0</v>
      </c>
      <c r="D24" s="4"/>
      <c r="E24" s="4"/>
      <c r="F24" s="4" t="str">
        <f t="shared" si="0"/>
        <v/>
      </c>
      <c r="H24" s="1"/>
      <c r="I24" s="1"/>
      <c r="J24" s="4">
        <f t="shared" si="3"/>
        <v>0</v>
      </c>
      <c r="K24" s="4"/>
      <c r="L24" s="4"/>
      <c r="M24" s="4" t="str">
        <f t="shared" si="2"/>
        <v/>
      </c>
    </row>
    <row r="25" spans="1:13" x14ac:dyDescent="0.25">
      <c r="A25" s="1"/>
      <c r="B25" s="1"/>
      <c r="C25" s="4">
        <f t="shared" si="1"/>
        <v>0</v>
      </c>
      <c r="D25" s="4"/>
      <c r="E25" s="4"/>
      <c r="F25" s="4" t="str">
        <f t="shared" si="0"/>
        <v/>
      </c>
      <c r="H25" s="1"/>
      <c r="I25" s="1"/>
      <c r="J25" s="4">
        <f t="shared" si="3"/>
        <v>0</v>
      </c>
      <c r="K25" s="4"/>
      <c r="L25" s="4"/>
      <c r="M25" s="4" t="str">
        <f t="shared" si="2"/>
        <v/>
      </c>
    </row>
    <row r="26" spans="1:13" x14ac:dyDescent="0.25">
      <c r="A26" s="1"/>
      <c r="B26" s="1"/>
      <c r="C26" s="4">
        <f t="shared" si="1"/>
        <v>0</v>
      </c>
      <c r="D26" s="4"/>
      <c r="E26" s="4"/>
      <c r="F26" s="4" t="str">
        <f t="shared" si="0"/>
        <v/>
      </c>
      <c r="H26" s="1"/>
      <c r="I26" s="1"/>
      <c r="J26" s="4">
        <f t="shared" si="3"/>
        <v>0</v>
      </c>
      <c r="K26" s="4"/>
      <c r="L26" s="4"/>
      <c r="M26" s="4" t="str">
        <f t="shared" si="2"/>
        <v/>
      </c>
    </row>
    <row r="27" spans="1:13" x14ac:dyDescent="0.25">
      <c r="A27" s="1"/>
      <c r="B27" s="1"/>
      <c r="C27" s="4">
        <f t="shared" si="1"/>
        <v>0</v>
      </c>
      <c r="D27" s="4"/>
      <c r="E27" s="4"/>
      <c r="F27" s="4" t="str">
        <f t="shared" si="0"/>
        <v/>
      </c>
      <c r="H27" s="1"/>
      <c r="I27" s="1"/>
      <c r="J27" s="4">
        <f t="shared" si="3"/>
        <v>0</v>
      </c>
      <c r="K27" s="4"/>
      <c r="L27" s="4"/>
      <c r="M27" s="4" t="str">
        <f t="shared" si="2"/>
        <v/>
      </c>
    </row>
    <row r="28" spans="1:13" x14ac:dyDescent="0.25">
      <c r="A28" s="1"/>
      <c r="B28" s="1"/>
      <c r="C28" s="4">
        <f t="shared" si="1"/>
        <v>0</v>
      </c>
      <c r="D28" s="4"/>
      <c r="E28" s="4"/>
      <c r="F28" s="4" t="str">
        <f t="shared" si="0"/>
        <v/>
      </c>
      <c r="H28" s="1"/>
      <c r="I28" s="1"/>
      <c r="J28" s="4">
        <f t="shared" si="3"/>
        <v>0</v>
      </c>
      <c r="K28" s="4"/>
      <c r="L28" s="4"/>
      <c r="M28" s="4" t="str">
        <f t="shared" si="2"/>
        <v/>
      </c>
    </row>
    <row r="29" spans="1:13" x14ac:dyDescent="0.25">
      <c r="A29" s="1"/>
      <c r="B29" s="1"/>
      <c r="C29" s="4">
        <f t="shared" si="1"/>
        <v>0</v>
      </c>
      <c r="D29" s="4"/>
      <c r="E29" s="4"/>
      <c r="F29" s="4" t="str">
        <f t="shared" si="0"/>
        <v/>
      </c>
      <c r="H29" s="1"/>
      <c r="I29" s="1"/>
      <c r="J29" s="4">
        <f t="shared" si="3"/>
        <v>0</v>
      </c>
      <c r="K29" s="4"/>
      <c r="L29" s="4"/>
      <c r="M29" s="4" t="str">
        <f t="shared" si="2"/>
        <v/>
      </c>
    </row>
    <row r="30" spans="1:13" x14ac:dyDescent="0.25">
      <c r="A30" s="1"/>
      <c r="B30" s="1"/>
      <c r="C30" s="4">
        <f t="shared" si="1"/>
        <v>0</v>
      </c>
      <c r="D30" s="4"/>
      <c r="E30" s="4"/>
      <c r="F30" s="4" t="str">
        <f t="shared" si="0"/>
        <v/>
      </c>
      <c r="H30" s="1"/>
      <c r="I30" s="1"/>
      <c r="J30" s="4">
        <f t="shared" si="3"/>
        <v>0</v>
      </c>
      <c r="K30" s="4"/>
      <c r="L30" s="4"/>
      <c r="M30" s="4" t="str">
        <f t="shared" si="2"/>
        <v/>
      </c>
    </row>
    <row r="31" spans="1:13" x14ac:dyDescent="0.25">
      <c r="A31" s="1"/>
      <c r="B31" s="1"/>
      <c r="C31" s="4">
        <f t="shared" si="1"/>
        <v>0</v>
      </c>
      <c r="D31" s="4"/>
      <c r="E31" s="4"/>
      <c r="F31" s="4" t="str">
        <f t="shared" si="0"/>
        <v/>
      </c>
      <c r="H31" s="1"/>
      <c r="I31" s="1"/>
      <c r="J31" s="4">
        <f t="shared" si="3"/>
        <v>0</v>
      </c>
      <c r="K31" s="4"/>
      <c r="L31" s="4"/>
      <c r="M31" s="4" t="str">
        <f t="shared" si="2"/>
        <v/>
      </c>
    </row>
    <row r="32" spans="1:13" x14ac:dyDescent="0.25">
      <c r="A32" s="1"/>
      <c r="B32" s="1"/>
      <c r="C32" s="4">
        <f t="shared" si="1"/>
        <v>0</v>
      </c>
      <c r="D32" s="4"/>
      <c r="E32" s="4"/>
      <c r="F32" s="4" t="str">
        <f t="shared" si="0"/>
        <v/>
      </c>
      <c r="H32" s="1"/>
      <c r="I32" s="1"/>
      <c r="J32" s="4">
        <f t="shared" si="3"/>
        <v>0</v>
      </c>
      <c r="K32" s="4"/>
      <c r="L32" s="4"/>
      <c r="M32" s="4" t="str">
        <f t="shared" si="2"/>
        <v/>
      </c>
    </row>
    <row r="33" spans="1:13" x14ac:dyDescent="0.25">
      <c r="A33" s="1"/>
      <c r="B33" s="1"/>
      <c r="C33" s="4">
        <f t="shared" si="1"/>
        <v>0</v>
      </c>
      <c r="D33" s="4"/>
      <c r="E33" s="4"/>
      <c r="F33" s="4" t="str">
        <f t="shared" si="0"/>
        <v/>
      </c>
      <c r="H33" s="1"/>
      <c r="I33" s="1"/>
      <c r="J33" s="4">
        <f t="shared" si="3"/>
        <v>0</v>
      </c>
      <c r="K33" s="4"/>
      <c r="L33" s="4"/>
      <c r="M33" s="4" t="str">
        <f t="shared" si="2"/>
        <v/>
      </c>
    </row>
    <row r="34" spans="1:13" x14ac:dyDescent="0.25">
      <c r="A34" s="1"/>
      <c r="B34" s="1"/>
      <c r="C34" s="4">
        <f t="shared" si="1"/>
        <v>0</v>
      </c>
      <c r="D34" s="4"/>
      <c r="E34" s="4"/>
      <c r="F34" s="4" t="str">
        <f t="shared" si="0"/>
        <v/>
      </c>
      <c r="H34" s="1"/>
      <c r="I34" s="1"/>
      <c r="J34" s="4">
        <f t="shared" si="3"/>
        <v>0</v>
      </c>
      <c r="K34" s="4"/>
      <c r="L34" s="4"/>
      <c r="M34" s="4" t="str">
        <f t="shared" si="2"/>
        <v/>
      </c>
    </row>
    <row r="35" spans="1:13" x14ac:dyDescent="0.25">
      <c r="A35" s="1"/>
      <c r="B35" s="1"/>
      <c r="C35" s="4">
        <f t="shared" si="1"/>
        <v>0</v>
      </c>
      <c r="D35" s="4"/>
      <c r="E35" s="4"/>
      <c r="F35" s="4" t="str">
        <f t="shared" si="0"/>
        <v/>
      </c>
      <c r="H35" s="1"/>
      <c r="I35" s="1"/>
      <c r="J35" s="4">
        <f t="shared" si="3"/>
        <v>0</v>
      </c>
      <c r="K35" s="4"/>
      <c r="L35" s="4"/>
      <c r="M35" s="4" t="str">
        <f t="shared" si="2"/>
        <v/>
      </c>
    </row>
    <row r="36" spans="1:13" x14ac:dyDescent="0.25">
      <c r="A36" s="1"/>
      <c r="B36" s="1"/>
      <c r="C36" s="4">
        <f t="shared" si="1"/>
        <v>0</v>
      </c>
      <c r="D36" s="4"/>
      <c r="E36" s="4"/>
      <c r="F36" s="4" t="str">
        <f t="shared" si="0"/>
        <v/>
      </c>
      <c r="H36" s="1"/>
      <c r="I36" s="1"/>
      <c r="J36" s="4">
        <f t="shared" si="3"/>
        <v>0</v>
      </c>
      <c r="K36" s="4"/>
      <c r="L36" s="4"/>
      <c r="M36" s="4" t="str">
        <f t="shared" si="2"/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1A44-B83F-4B04-BE97-E159AB1F3147}">
  <dimension ref="B2:S96"/>
  <sheetViews>
    <sheetView tabSelected="1" workbookViewId="0">
      <selection activeCell="G16" sqref="G16"/>
    </sheetView>
  </sheetViews>
  <sheetFormatPr baseColWidth="10" defaultRowHeight="16.5" x14ac:dyDescent="0.3"/>
  <cols>
    <col min="1" max="1" width="5.85546875" style="8" customWidth="1"/>
    <col min="2" max="2" width="19.7109375" style="6" customWidth="1"/>
    <col min="3" max="3" width="17" style="7" bestFit="1" customWidth="1"/>
    <col min="4" max="4" width="23.5703125" style="7" customWidth="1"/>
    <col min="5" max="5" width="22" style="7" customWidth="1"/>
    <col min="6" max="6" width="27" style="7" bestFit="1" customWidth="1"/>
    <col min="7" max="7" width="11.42578125" style="7"/>
    <col min="8" max="8" width="26.28515625" style="7" bestFit="1" customWidth="1"/>
    <col min="9" max="9" width="19.42578125" style="7" bestFit="1" customWidth="1"/>
    <col min="10" max="10" width="25.7109375" style="7" bestFit="1" customWidth="1"/>
    <col min="11" max="16384" width="11.42578125" style="8"/>
  </cols>
  <sheetData>
    <row r="2" spans="2:19" x14ac:dyDescent="0.3">
      <c r="B2" s="6" t="s">
        <v>14</v>
      </c>
    </row>
    <row r="4" spans="2:19" x14ac:dyDescent="0.3">
      <c r="B4" s="9" t="s">
        <v>15</v>
      </c>
      <c r="C4" s="10" t="s">
        <v>16</v>
      </c>
      <c r="D4" s="10" t="s">
        <v>17</v>
      </c>
      <c r="E4" s="10" t="s">
        <v>20</v>
      </c>
      <c r="F4" s="10" t="s">
        <v>27</v>
      </c>
      <c r="G4" s="10" t="s">
        <v>21</v>
      </c>
      <c r="H4" s="10" t="s">
        <v>22</v>
      </c>
      <c r="I4" s="10" t="s">
        <v>18</v>
      </c>
      <c r="J4" s="10" t="s">
        <v>19</v>
      </c>
      <c r="K4" s="14" t="s">
        <v>35</v>
      </c>
      <c r="L4" s="14"/>
      <c r="M4" s="14"/>
      <c r="N4" s="14"/>
      <c r="O4" s="14"/>
      <c r="P4" s="14"/>
      <c r="Q4" s="14"/>
      <c r="R4" s="14"/>
      <c r="S4" s="14"/>
    </row>
    <row r="5" spans="2:19" x14ac:dyDescent="0.3">
      <c r="B5" s="11">
        <v>45875</v>
      </c>
      <c r="C5" s="7" t="s">
        <v>23</v>
      </c>
      <c r="D5" s="7" t="s">
        <v>25</v>
      </c>
      <c r="E5" s="7" t="s">
        <v>28</v>
      </c>
      <c r="F5" s="7" t="s">
        <v>29</v>
      </c>
      <c r="G5" s="7">
        <v>3184698</v>
      </c>
      <c r="H5" s="7" t="s">
        <v>33</v>
      </c>
      <c r="I5" s="12" t="s">
        <v>34</v>
      </c>
      <c r="J5" s="7" t="s">
        <v>41</v>
      </c>
      <c r="K5" s="15" t="s">
        <v>36</v>
      </c>
      <c r="L5" s="15"/>
      <c r="M5" s="15"/>
      <c r="N5" s="15"/>
      <c r="O5" s="15"/>
      <c r="P5" s="15"/>
      <c r="Q5" s="15"/>
      <c r="R5" s="15"/>
      <c r="S5" s="15"/>
    </row>
    <row r="6" spans="2:19" x14ac:dyDescent="0.3">
      <c r="B6" s="11">
        <v>45875</v>
      </c>
      <c r="C6" s="7" t="s">
        <v>24</v>
      </c>
      <c r="D6" s="7" t="s">
        <v>25</v>
      </c>
      <c r="E6" s="7" t="s">
        <v>28</v>
      </c>
      <c r="F6" s="7" t="s">
        <v>30</v>
      </c>
      <c r="G6" s="7">
        <v>3184701</v>
      </c>
      <c r="H6" s="7" t="s">
        <v>33</v>
      </c>
      <c r="I6" s="12" t="s">
        <v>48</v>
      </c>
      <c r="J6" s="7" t="s">
        <v>42</v>
      </c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3">
      <c r="B7" s="11">
        <v>45875</v>
      </c>
      <c r="C7" s="7" t="s">
        <v>25</v>
      </c>
      <c r="D7" s="7" t="s">
        <v>25</v>
      </c>
      <c r="E7" s="7" t="s">
        <v>28</v>
      </c>
      <c r="F7" s="7" t="s">
        <v>31</v>
      </c>
      <c r="G7" s="7">
        <v>3184707</v>
      </c>
      <c r="H7" s="7" t="s">
        <v>33</v>
      </c>
      <c r="I7" s="12" t="s">
        <v>34</v>
      </c>
      <c r="J7" s="7" t="s">
        <v>41</v>
      </c>
      <c r="K7" s="15"/>
      <c r="L7" s="15"/>
      <c r="M7" s="15"/>
      <c r="N7" s="15"/>
      <c r="O7" s="15"/>
      <c r="P7" s="15"/>
      <c r="Q7" s="15"/>
      <c r="R7" s="15"/>
      <c r="S7" s="15"/>
    </row>
    <row r="8" spans="2:19" x14ac:dyDescent="0.3">
      <c r="B8" s="11">
        <v>45875</v>
      </c>
      <c r="C8" s="7" t="s">
        <v>26</v>
      </c>
      <c r="D8" s="7" t="s">
        <v>25</v>
      </c>
      <c r="E8" s="7" t="s">
        <v>28</v>
      </c>
      <c r="F8" s="7" t="s">
        <v>32</v>
      </c>
      <c r="G8" s="7">
        <v>3184690</v>
      </c>
      <c r="H8" s="7" t="s">
        <v>33</v>
      </c>
      <c r="I8" s="12" t="s">
        <v>34</v>
      </c>
      <c r="J8" s="7" t="s">
        <v>47</v>
      </c>
      <c r="K8" s="15"/>
      <c r="L8" s="15"/>
      <c r="M8" s="15"/>
      <c r="N8" s="15"/>
      <c r="O8" s="15"/>
      <c r="P8" s="15"/>
      <c r="Q8" s="15"/>
      <c r="R8" s="15"/>
      <c r="S8" s="15"/>
    </row>
    <row r="9" spans="2:19" x14ac:dyDescent="0.3">
      <c r="B9" s="11">
        <v>45909</v>
      </c>
      <c r="C9" s="7" t="s">
        <v>37</v>
      </c>
      <c r="D9" s="7" t="s">
        <v>37</v>
      </c>
      <c r="E9" s="7" t="s">
        <v>28</v>
      </c>
      <c r="F9" s="13" t="s">
        <v>38</v>
      </c>
      <c r="G9" s="7">
        <v>51576378</v>
      </c>
      <c r="H9" s="7" t="s">
        <v>40</v>
      </c>
      <c r="I9" s="12" t="s">
        <v>34</v>
      </c>
      <c r="J9" s="7" t="s">
        <v>41</v>
      </c>
      <c r="K9" s="16" t="s">
        <v>39</v>
      </c>
      <c r="L9" s="16"/>
      <c r="M9" s="16"/>
      <c r="N9" s="16"/>
      <c r="O9" s="16"/>
      <c r="P9" s="16"/>
      <c r="Q9" s="16"/>
      <c r="R9" s="16"/>
      <c r="S9" s="16"/>
    </row>
    <row r="10" spans="2:19" x14ac:dyDescent="0.3">
      <c r="B10" s="11">
        <v>45962</v>
      </c>
      <c r="C10" s="7" t="s">
        <v>45</v>
      </c>
      <c r="D10" s="7" t="s">
        <v>43</v>
      </c>
      <c r="E10" s="7" t="s">
        <v>28</v>
      </c>
      <c r="F10" s="7" t="s">
        <v>44</v>
      </c>
      <c r="G10" s="7">
        <v>3262626</v>
      </c>
      <c r="H10" s="7" t="s">
        <v>46</v>
      </c>
      <c r="I10" s="12" t="s">
        <v>34</v>
      </c>
      <c r="J10" s="7" t="s">
        <v>49</v>
      </c>
      <c r="K10" s="8" t="s">
        <v>50</v>
      </c>
    </row>
    <row r="11" spans="2:19" x14ac:dyDescent="0.3">
      <c r="B11" s="11">
        <v>45963</v>
      </c>
      <c r="C11" s="7" t="s">
        <v>53</v>
      </c>
      <c r="D11" s="7" t="s">
        <v>43</v>
      </c>
      <c r="E11" s="7" t="s">
        <v>28</v>
      </c>
      <c r="F11" s="7" t="s">
        <v>51</v>
      </c>
      <c r="G11" s="7">
        <v>3292632</v>
      </c>
      <c r="H11" s="7" t="s">
        <v>46</v>
      </c>
      <c r="I11" s="12" t="s">
        <v>34</v>
      </c>
      <c r="J11" s="7" t="s">
        <v>49</v>
      </c>
      <c r="K11" s="16" t="s">
        <v>52</v>
      </c>
      <c r="L11" s="16"/>
      <c r="M11" s="16"/>
      <c r="N11" s="16"/>
      <c r="O11" s="16"/>
      <c r="P11" s="16"/>
      <c r="Q11" s="16"/>
      <c r="R11" s="16"/>
      <c r="S11" s="16"/>
    </row>
    <row r="12" spans="2:19" x14ac:dyDescent="0.3">
      <c r="B12" s="11"/>
      <c r="I12" s="12"/>
    </row>
    <row r="13" spans="2:19" x14ac:dyDescent="0.3">
      <c r="B13" s="11"/>
      <c r="I13" s="12"/>
    </row>
    <row r="14" spans="2:19" x14ac:dyDescent="0.3">
      <c r="B14" s="11"/>
      <c r="I14" s="12"/>
    </row>
    <row r="15" spans="2:19" x14ac:dyDescent="0.3">
      <c r="B15" s="11"/>
      <c r="I15" s="12"/>
    </row>
    <row r="16" spans="2:19" x14ac:dyDescent="0.3">
      <c r="B16" s="11"/>
      <c r="I16" s="12"/>
    </row>
    <row r="17" spans="2:9" x14ac:dyDescent="0.3">
      <c r="B17" s="11"/>
      <c r="I17" s="12"/>
    </row>
    <row r="18" spans="2:9" x14ac:dyDescent="0.3">
      <c r="B18" s="11"/>
      <c r="I18" s="12"/>
    </row>
    <row r="19" spans="2:9" x14ac:dyDescent="0.3">
      <c r="B19" s="11"/>
      <c r="I19" s="12"/>
    </row>
    <row r="20" spans="2:9" x14ac:dyDescent="0.3">
      <c r="B20" s="11"/>
      <c r="I20" s="12"/>
    </row>
    <row r="21" spans="2:9" x14ac:dyDescent="0.3">
      <c r="B21" s="11"/>
      <c r="I21" s="12"/>
    </row>
    <row r="22" spans="2:9" x14ac:dyDescent="0.3">
      <c r="B22" s="11"/>
      <c r="I22" s="12"/>
    </row>
    <row r="23" spans="2:9" x14ac:dyDescent="0.3">
      <c r="B23" s="11"/>
      <c r="I23" s="12"/>
    </row>
    <row r="24" spans="2:9" x14ac:dyDescent="0.3">
      <c r="B24" s="11"/>
      <c r="I24" s="12"/>
    </row>
    <row r="25" spans="2:9" x14ac:dyDescent="0.3">
      <c r="B25" s="11"/>
    </row>
    <row r="26" spans="2:9" x14ac:dyDescent="0.3">
      <c r="B26" s="11"/>
    </row>
    <row r="27" spans="2:9" x14ac:dyDescent="0.3">
      <c r="B27" s="11"/>
    </row>
    <row r="28" spans="2:9" x14ac:dyDescent="0.3">
      <c r="B28" s="11"/>
    </row>
    <row r="29" spans="2:9" x14ac:dyDescent="0.3">
      <c r="B29" s="11"/>
    </row>
    <row r="30" spans="2:9" x14ac:dyDescent="0.3">
      <c r="B30" s="11"/>
    </row>
    <row r="31" spans="2:9" x14ac:dyDescent="0.3">
      <c r="B31" s="11"/>
    </row>
    <row r="32" spans="2:9" x14ac:dyDescent="0.3">
      <c r="B32" s="11"/>
    </row>
    <row r="33" spans="2:2" x14ac:dyDescent="0.3">
      <c r="B33" s="11"/>
    </row>
    <row r="34" spans="2:2" x14ac:dyDescent="0.3">
      <c r="B34" s="11"/>
    </row>
    <row r="35" spans="2:2" x14ac:dyDescent="0.3">
      <c r="B35" s="11"/>
    </row>
    <row r="36" spans="2:2" x14ac:dyDescent="0.3">
      <c r="B36" s="11"/>
    </row>
    <row r="37" spans="2:2" x14ac:dyDescent="0.3">
      <c r="B37" s="11"/>
    </row>
    <row r="38" spans="2:2" x14ac:dyDescent="0.3">
      <c r="B38" s="11"/>
    </row>
    <row r="39" spans="2:2" x14ac:dyDescent="0.3">
      <c r="B39" s="11"/>
    </row>
    <row r="40" spans="2:2" x14ac:dyDescent="0.3">
      <c r="B40" s="11"/>
    </row>
    <row r="41" spans="2:2" x14ac:dyDescent="0.3">
      <c r="B41" s="11"/>
    </row>
    <row r="42" spans="2:2" x14ac:dyDescent="0.3">
      <c r="B42" s="11"/>
    </row>
    <row r="43" spans="2:2" x14ac:dyDescent="0.3">
      <c r="B43" s="11"/>
    </row>
    <row r="44" spans="2:2" x14ac:dyDescent="0.3">
      <c r="B44" s="11"/>
    </row>
    <row r="45" spans="2:2" x14ac:dyDescent="0.3">
      <c r="B45" s="11"/>
    </row>
    <row r="46" spans="2:2" x14ac:dyDescent="0.3">
      <c r="B46" s="11"/>
    </row>
    <row r="47" spans="2:2" x14ac:dyDescent="0.3">
      <c r="B47" s="11"/>
    </row>
    <row r="48" spans="2:2" x14ac:dyDescent="0.3">
      <c r="B48" s="11"/>
    </row>
    <row r="49" spans="2:2" x14ac:dyDescent="0.3">
      <c r="B49" s="11"/>
    </row>
    <row r="50" spans="2:2" x14ac:dyDescent="0.3">
      <c r="B50" s="11"/>
    </row>
    <row r="51" spans="2:2" x14ac:dyDescent="0.3">
      <c r="B51" s="11"/>
    </row>
    <row r="52" spans="2:2" x14ac:dyDescent="0.3">
      <c r="B52" s="11"/>
    </row>
    <row r="53" spans="2:2" x14ac:dyDescent="0.3">
      <c r="B53" s="11"/>
    </row>
    <row r="54" spans="2:2" x14ac:dyDescent="0.3">
      <c r="B54" s="11"/>
    </row>
    <row r="55" spans="2:2" x14ac:dyDescent="0.3">
      <c r="B55" s="11"/>
    </row>
    <row r="56" spans="2:2" x14ac:dyDescent="0.3">
      <c r="B56" s="11"/>
    </row>
    <row r="57" spans="2:2" x14ac:dyDescent="0.3">
      <c r="B57" s="11"/>
    </row>
    <row r="58" spans="2:2" x14ac:dyDescent="0.3">
      <c r="B58" s="11"/>
    </row>
    <row r="59" spans="2:2" x14ac:dyDescent="0.3">
      <c r="B59" s="11"/>
    </row>
    <row r="60" spans="2:2" x14ac:dyDescent="0.3">
      <c r="B60" s="11"/>
    </row>
    <row r="61" spans="2:2" x14ac:dyDescent="0.3">
      <c r="B61" s="11"/>
    </row>
    <row r="62" spans="2:2" x14ac:dyDescent="0.3">
      <c r="B62" s="11"/>
    </row>
    <row r="63" spans="2:2" x14ac:dyDescent="0.3">
      <c r="B63" s="11"/>
    </row>
    <row r="64" spans="2:2" x14ac:dyDescent="0.3">
      <c r="B64" s="11"/>
    </row>
    <row r="65" spans="2:2" x14ac:dyDescent="0.3">
      <c r="B65" s="11"/>
    </row>
    <row r="66" spans="2:2" x14ac:dyDescent="0.3">
      <c r="B66" s="11"/>
    </row>
    <row r="67" spans="2:2" x14ac:dyDescent="0.3">
      <c r="B67" s="11"/>
    </row>
    <row r="68" spans="2:2" x14ac:dyDescent="0.3">
      <c r="B68" s="11"/>
    </row>
    <row r="69" spans="2:2" x14ac:dyDescent="0.3">
      <c r="B69" s="11"/>
    </row>
    <row r="70" spans="2:2" x14ac:dyDescent="0.3">
      <c r="B70" s="11"/>
    </row>
    <row r="71" spans="2:2" x14ac:dyDescent="0.3">
      <c r="B71" s="11"/>
    </row>
    <row r="72" spans="2:2" x14ac:dyDescent="0.3">
      <c r="B72" s="11"/>
    </row>
    <row r="73" spans="2:2" x14ac:dyDescent="0.3">
      <c r="B73" s="11"/>
    </row>
    <row r="74" spans="2:2" x14ac:dyDescent="0.3">
      <c r="B74" s="11"/>
    </row>
    <row r="75" spans="2:2" x14ac:dyDescent="0.3">
      <c r="B75" s="11"/>
    </row>
    <row r="76" spans="2:2" x14ac:dyDescent="0.3">
      <c r="B76" s="11"/>
    </row>
    <row r="77" spans="2:2" x14ac:dyDescent="0.3">
      <c r="B77" s="11"/>
    </row>
    <row r="78" spans="2:2" x14ac:dyDescent="0.3">
      <c r="B78" s="11"/>
    </row>
    <row r="79" spans="2:2" x14ac:dyDescent="0.3">
      <c r="B79" s="11"/>
    </row>
    <row r="80" spans="2:2" x14ac:dyDescent="0.3">
      <c r="B80" s="11"/>
    </row>
    <row r="81" spans="2:2" x14ac:dyDescent="0.3">
      <c r="B81" s="11"/>
    </row>
    <row r="82" spans="2:2" x14ac:dyDescent="0.3">
      <c r="B82" s="11"/>
    </row>
    <row r="83" spans="2:2" x14ac:dyDescent="0.3">
      <c r="B83" s="11"/>
    </row>
    <row r="84" spans="2:2" x14ac:dyDescent="0.3">
      <c r="B84" s="11"/>
    </row>
    <row r="85" spans="2:2" x14ac:dyDescent="0.3">
      <c r="B85" s="11"/>
    </row>
    <row r="86" spans="2:2" x14ac:dyDescent="0.3">
      <c r="B86" s="11"/>
    </row>
    <row r="87" spans="2:2" x14ac:dyDescent="0.3">
      <c r="B87" s="11"/>
    </row>
    <row r="88" spans="2:2" x14ac:dyDescent="0.3">
      <c r="B88" s="11"/>
    </row>
    <row r="89" spans="2:2" x14ac:dyDescent="0.3">
      <c r="B89" s="11"/>
    </row>
    <row r="90" spans="2:2" x14ac:dyDescent="0.3">
      <c r="B90" s="11"/>
    </row>
    <row r="91" spans="2:2" x14ac:dyDescent="0.3">
      <c r="B91" s="11"/>
    </row>
    <row r="92" spans="2:2" x14ac:dyDescent="0.3">
      <c r="B92" s="11"/>
    </row>
    <row r="93" spans="2:2" x14ac:dyDescent="0.3">
      <c r="B93" s="11"/>
    </row>
    <row r="94" spans="2:2" x14ac:dyDescent="0.3">
      <c r="B94" s="11"/>
    </row>
    <row r="95" spans="2:2" x14ac:dyDescent="0.3">
      <c r="B95" s="11"/>
    </row>
    <row r="96" spans="2:2" x14ac:dyDescent="0.3">
      <c r="B96" s="11"/>
    </row>
  </sheetData>
  <mergeCells count="4">
    <mergeCell ref="K4:S4"/>
    <mergeCell ref="K5:S8"/>
    <mergeCell ref="K9:S9"/>
    <mergeCell ref="K11:S11"/>
  </mergeCells>
  <hyperlinks>
    <hyperlink ref="F9" r:id="rId1" xr:uid="{50F9D12D-7F8D-4004-A321-5797E20B5EC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cuentas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Rojas</dc:creator>
  <cp:lastModifiedBy>Luis Rojas</cp:lastModifiedBy>
  <dcterms:created xsi:type="dcterms:W3CDTF">2025-02-01T01:59:36Z</dcterms:created>
  <dcterms:modified xsi:type="dcterms:W3CDTF">2025-12-11T22:13:28Z</dcterms:modified>
</cp:coreProperties>
</file>